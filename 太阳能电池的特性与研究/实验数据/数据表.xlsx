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2FB3FF2D-66B7-4A9B-9B76-F09AB2E06676}" xr6:coauthVersionLast="47" xr6:coauthVersionMax="47" xr10:uidLastSave="{00000000-0000-0000-0000-000000000000}"/>
  <bookViews>
    <workbookView xWindow="15264" yWindow="0" windowWidth="15552" windowHeight="1737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</calcChain>
</file>

<file path=xl/sharedStrings.xml><?xml version="1.0" encoding="utf-8"?>
<sst xmlns="http://schemas.openxmlformats.org/spreadsheetml/2006/main" count="14" uniqueCount="14">
  <si>
    <t>U/V</t>
  </si>
  <si>
    <t>I/μA</t>
    <phoneticPr fontId="1" type="noConversion"/>
  </si>
  <si>
    <t>lnI</t>
    <phoneticPr fontId="1" type="noConversion"/>
  </si>
  <si>
    <t>太阳能电池的伏安特性测量</t>
    <phoneticPr fontId="1" type="noConversion"/>
  </si>
  <si>
    <t>L/cm</t>
  </si>
  <si>
    <t>P/mW</t>
  </si>
  <si>
    <r>
      <t>I</t>
    </r>
    <r>
      <rPr>
        <vertAlign val="subscript"/>
        <sz val="10"/>
        <color rgb="FF000000"/>
        <rFont val="Inter"/>
      </rPr>
      <t>sc</t>
    </r>
    <r>
      <rPr>
        <sz val="10"/>
        <color rgb="FF000000"/>
        <rFont val="Inter"/>
      </rPr>
      <t>/mA</t>
    </r>
    <phoneticPr fontId="1" type="noConversion"/>
  </si>
  <si>
    <r>
      <rPr>
        <b/>
        <i/>
        <sz val="10"/>
        <color rgb="FF000000"/>
        <rFont val="Inter"/>
      </rPr>
      <t>U</t>
    </r>
    <r>
      <rPr>
        <vertAlign val="subscript"/>
        <sz val="10"/>
        <color rgb="FF000000"/>
        <rFont val="Inter"/>
      </rPr>
      <t>oc</t>
    </r>
    <r>
      <rPr>
        <b/>
        <sz val="10"/>
        <color rgb="FF000000"/>
        <rFont val="Inter"/>
      </rPr>
      <t>/</t>
    </r>
    <r>
      <rPr>
        <sz val="10"/>
        <color rgb="FF000000"/>
        <rFont val="Inter"/>
      </rPr>
      <t>V</t>
    </r>
    <phoneticPr fontId="1" type="noConversion"/>
  </si>
  <si>
    <t>特定光照强度下太阳能电池的输出特性测量</t>
    <phoneticPr fontId="1" type="noConversion"/>
  </si>
  <si>
    <r>
      <rPr>
        <sz val="9"/>
        <color theme="1"/>
        <rFont val="宋体"/>
        <family val="3"/>
        <charset val="134"/>
        <scheme val="minor"/>
      </rPr>
      <t>不同光照强度下开路电压</t>
    </r>
    <r>
      <rPr>
        <b/>
        <sz val="9"/>
        <color theme="1"/>
        <rFont val="宋体"/>
        <family val="3"/>
        <charset val="134"/>
        <scheme val="minor"/>
      </rPr>
      <t>U</t>
    </r>
    <r>
      <rPr>
        <sz val="9"/>
        <color theme="1"/>
        <rFont val="宋体"/>
        <family val="3"/>
        <charset val="134"/>
        <scheme val="minor"/>
      </rPr>
      <t>oc和短路电流</t>
    </r>
    <r>
      <rPr>
        <b/>
        <sz val="9"/>
        <color theme="1"/>
        <rFont val="宋体"/>
        <family val="3"/>
        <charset val="134"/>
        <scheme val="minor"/>
      </rPr>
      <t>I</t>
    </r>
    <r>
      <rPr>
        <sz val="9"/>
        <color theme="1"/>
        <rFont val="宋体"/>
        <family val="3"/>
        <charset val="134"/>
        <scheme val="minor"/>
      </rPr>
      <t>sc测量</t>
    </r>
    <phoneticPr fontId="1" type="noConversion"/>
  </si>
  <si>
    <t>R/Ω</t>
  </si>
  <si>
    <t>I/mA</t>
  </si>
  <si>
    <t>U/V</t>
    <phoneticPr fontId="1" type="noConversion"/>
  </si>
  <si>
    <t>P/mW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</si>
</sst>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000000"/>
      <name val="Inter"/>
    </font>
    <font>
      <sz val="10"/>
      <color rgb="FF000000"/>
      <name val="Inter"/>
    </font>
    <font>
      <b/>
      <sz val="9"/>
      <color theme="1"/>
      <name val="宋体"/>
      <family val="3"/>
      <charset val="134"/>
      <scheme val="minor"/>
    </font>
    <font>
      <vertAlign val="subscript"/>
      <sz val="10"/>
      <color rgb="FF000000"/>
      <name val="Inter"/>
    </font>
    <font>
      <b/>
      <sz val="10"/>
      <color rgb="FF000000"/>
      <name val="Inter"/>
    </font>
    <font>
      <b/>
      <i/>
      <sz val="10"/>
      <color rgb="FF000000"/>
      <name val="Inter"/>
    </font>
    <font>
      <sz val="9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0" fontId="3" fillId="4" borderId="2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0" fillId="4" borderId="9" xfId="0" applyFill="1" applyBorder="1">
      <alignment vertical="center"/>
    </xf>
    <xf numFmtId="0" fontId="0" fillId="4" borderId="7" xfId="0" applyFill="1" applyBorder="1">
      <alignment vertical="center"/>
    </xf>
    <xf numFmtId="0" fontId="2" fillId="4" borderId="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zoomScale="190" zoomScaleNormal="190" workbookViewId="0">
      <selection activeCell="B12" sqref="B12"/>
    </sheetView>
  </sheetViews>
  <sheetFormatPr defaultRowHeight="14.4" x14ac:dyDescent="0.25"/>
  <cols>
    <col min="1" max="1" width="10.33203125" customWidth="1"/>
    <col min="2" max="2" width="13.33203125" customWidth="1"/>
    <col min="3" max="3" width="13.6640625" customWidth="1"/>
  </cols>
  <sheetData>
    <row r="1" spans="1:3" ht="15" thickBot="1" x14ac:dyDescent="0.3">
      <c r="A1" s="22" t="s">
        <v>3</v>
      </c>
      <c r="B1" s="23"/>
      <c r="C1" s="23"/>
    </row>
    <row r="2" spans="1:3" ht="15" thickBot="1" x14ac:dyDescent="0.3">
      <c r="A2" s="1" t="s">
        <v>12</v>
      </c>
      <c r="B2" s="2" t="s">
        <v>1</v>
      </c>
      <c r="C2" s="2" t="s">
        <v>2</v>
      </c>
    </row>
    <row r="3" spans="1:3" ht="15" thickBot="1" x14ac:dyDescent="0.3">
      <c r="A3" s="3">
        <v>0</v>
      </c>
      <c r="B3" s="4">
        <v>-4</v>
      </c>
      <c r="C3" s="4"/>
    </row>
    <row r="4" spans="1:3" ht="15" thickBot="1" x14ac:dyDescent="0.3">
      <c r="A4" s="3">
        <v>0.5</v>
      </c>
      <c r="B4" s="4">
        <v>0</v>
      </c>
      <c r="C4" s="4"/>
    </row>
    <row r="5" spans="1:3" ht="15" thickBot="1" x14ac:dyDescent="0.3">
      <c r="A5" s="3">
        <v>1</v>
      </c>
      <c r="B5" s="4">
        <v>9</v>
      </c>
      <c r="C5" s="4">
        <f>LN(9)</f>
        <v>2.1972245773362196</v>
      </c>
    </row>
    <row r="6" spans="1:3" ht="15" thickBot="1" x14ac:dyDescent="0.3">
      <c r="A6" s="3">
        <v>1.5</v>
      </c>
      <c r="B6" s="4">
        <v>23</v>
      </c>
      <c r="C6" s="4">
        <f>LN(23)</f>
        <v>3.1354942159291497</v>
      </c>
    </row>
    <row r="7" spans="1:3" ht="15" thickBot="1" x14ac:dyDescent="0.3">
      <c r="A7" s="3">
        <v>2</v>
      </c>
      <c r="B7" s="4">
        <v>46</v>
      </c>
      <c r="C7" s="4">
        <f>LN(46)</f>
        <v>3.8286413964890951</v>
      </c>
    </row>
    <row r="8" spans="1:3" ht="15" thickBot="1" x14ac:dyDescent="0.3">
      <c r="A8" s="3">
        <v>2.2000000000000002</v>
      </c>
      <c r="B8" s="4">
        <v>59</v>
      </c>
      <c r="C8" s="4">
        <f>LN(59)</f>
        <v>4.0775374439057197</v>
      </c>
    </row>
    <row r="9" spans="1:3" ht="15" thickBot="1" x14ac:dyDescent="0.3">
      <c r="A9" s="3">
        <v>2.4</v>
      </c>
      <c r="B9" s="4">
        <v>74</v>
      </c>
      <c r="C9" s="4">
        <f>LN(74)</f>
        <v>4.3040650932041702</v>
      </c>
    </row>
    <row r="10" spans="1:3" ht="15" thickBot="1" x14ac:dyDescent="0.3">
      <c r="A10" s="3">
        <v>2.6</v>
      </c>
      <c r="B10" s="4">
        <v>93</v>
      </c>
      <c r="C10" s="4">
        <f>LN(93)</f>
        <v>4.5325994931532563</v>
      </c>
    </row>
    <row r="11" spans="1:3" ht="15" thickBot="1" x14ac:dyDescent="0.3">
      <c r="A11" s="3">
        <v>2.8</v>
      </c>
      <c r="B11" s="4">
        <v>118</v>
      </c>
      <c r="C11" s="4">
        <f>LN(118)</f>
        <v>4.7706846244656651</v>
      </c>
    </row>
    <row r="12" spans="1:3" ht="15" thickBot="1" x14ac:dyDescent="0.3">
      <c r="A12" s="5">
        <v>3</v>
      </c>
      <c r="B12" s="6">
        <v>144</v>
      </c>
      <c r="C12" s="6">
        <f>LN(144)</f>
        <v>4.9698132995760007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="160" zoomScaleNormal="160" workbookViewId="0">
      <selection activeCell="D2" sqref="D2"/>
    </sheetView>
  </sheetViews>
  <sheetFormatPr defaultRowHeight="14.4" x14ac:dyDescent="0.25"/>
  <cols>
    <col min="3" max="3" width="9.21875" customWidth="1"/>
    <col min="4" max="4" width="9.5546875" customWidth="1"/>
  </cols>
  <sheetData>
    <row r="1" spans="1:4" ht="16.8" customHeight="1" thickBot="1" x14ac:dyDescent="0.3">
      <c r="A1" s="24" t="s">
        <v>9</v>
      </c>
      <c r="B1" s="25"/>
      <c r="C1" s="25"/>
      <c r="D1" s="25"/>
    </row>
    <row r="2" spans="1:4" ht="16.2" thickBot="1" x14ac:dyDescent="0.3">
      <c r="A2" s="1" t="s">
        <v>4</v>
      </c>
      <c r="B2" s="2" t="s">
        <v>13</v>
      </c>
      <c r="C2" s="2" t="s">
        <v>7</v>
      </c>
      <c r="D2" s="2" t="s">
        <v>6</v>
      </c>
    </row>
    <row r="3" spans="1:4" ht="15" thickBot="1" x14ac:dyDescent="0.3">
      <c r="A3" s="3">
        <v>10</v>
      </c>
      <c r="B3" s="4">
        <v>16.989999999999998</v>
      </c>
      <c r="C3" s="4">
        <v>6.6</v>
      </c>
      <c r="D3" s="4">
        <v>74.900000000000006</v>
      </c>
    </row>
    <row r="4" spans="1:4" ht="15" thickBot="1" x14ac:dyDescent="0.3">
      <c r="A4" s="3">
        <v>15</v>
      </c>
      <c r="B4" s="4">
        <v>10.51</v>
      </c>
      <c r="C4" s="4">
        <v>6.3</v>
      </c>
      <c r="D4" s="4">
        <v>35.700000000000003</v>
      </c>
    </row>
    <row r="5" spans="1:4" ht="15" thickBot="1" x14ac:dyDescent="0.3">
      <c r="A5" s="3">
        <v>20</v>
      </c>
      <c r="B5" s="4">
        <v>7.2</v>
      </c>
      <c r="C5" s="4">
        <v>6.1</v>
      </c>
      <c r="D5" s="4">
        <v>21.3</v>
      </c>
    </row>
    <row r="6" spans="1:4" ht="15" thickBot="1" x14ac:dyDescent="0.3">
      <c r="A6" s="3">
        <v>25</v>
      </c>
      <c r="B6" s="4">
        <v>4.9000000000000004</v>
      </c>
      <c r="C6" s="4">
        <v>5.94</v>
      </c>
      <c r="D6" s="4">
        <v>14.2</v>
      </c>
    </row>
    <row r="7" spans="1:4" ht="15" thickBot="1" x14ac:dyDescent="0.3">
      <c r="A7" s="3">
        <v>30</v>
      </c>
      <c r="B7" s="4">
        <v>3.4</v>
      </c>
      <c r="C7" s="4">
        <v>5.8</v>
      </c>
      <c r="D7" s="4">
        <v>10</v>
      </c>
    </row>
    <row r="8" spans="1:4" ht="15" thickBot="1" x14ac:dyDescent="0.3">
      <c r="A8" s="3">
        <v>35</v>
      </c>
      <c r="B8" s="4">
        <v>2.56</v>
      </c>
      <c r="C8" s="4">
        <v>5.69</v>
      </c>
      <c r="D8" s="4">
        <v>7.4</v>
      </c>
    </row>
    <row r="9" spans="1:4" ht="15" thickBot="1" x14ac:dyDescent="0.3">
      <c r="A9" s="3">
        <v>40</v>
      </c>
      <c r="B9" s="4">
        <v>1.95</v>
      </c>
      <c r="C9" s="4">
        <v>5.58</v>
      </c>
      <c r="D9" s="4">
        <v>5.7</v>
      </c>
    </row>
    <row r="10" spans="1:4" ht="15" thickBot="1" x14ac:dyDescent="0.3">
      <c r="A10" s="3">
        <v>45</v>
      </c>
      <c r="B10" s="4">
        <v>1.56</v>
      </c>
      <c r="C10" s="4">
        <v>5.48</v>
      </c>
      <c r="D10" s="4">
        <v>4.5</v>
      </c>
    </row>
    <row r="11" spans="1:4" ht="15" thickBot="1" x14ac:dyDescent="0.3">
      <c r="A11" s="3">
        <v>50</v>
      </c>
      <c r="B11" s="4">
        <v>1.28</v>
      </c>
      <c r="C11" s="4">
        <v>5.39</v>
      </c>
      <c r="D11" s="4">
        <v>3.7</v>
      </c>
    </row>
    <row r="12" spans="1:4" ht="15" thickBot="1" x14ac:dyDescent="0.3">
      <c r="A12" s="5">
        <v>55</v>
      </c>
      <c r="B12" s="6">
        <v>1.08</v>
      </c>
      <c r="C12" s="6">
        <v>5.31</v>
      </c>
      <c r="D12" s="6">
        <v>3.1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7"/>
  <sheetViews>
    <sheetView tabSelected="1" zoomScale="115" zoomScaleNormal="115" workbookViewId="0">
      <selection activeCell="F29" sqref="F29"/>
    </sheetView>
  </sheetViews>
  <sheetFormatPr defaultRowHeight="14.4" x14ac:dyDescent="0.25"/>
  <cols>
    <col min="1" max="3" width="8.88671875" style="7"/>
    <col min="4" max="4" width="9.33203125" style="7" bestFit="1" customWidth="1"/>
    <col min="5" max="16384" width="8.88671875" style="7"/>
  </cols>
  <sheetData>
    <row r="1" spans="1:7" x14ac:dyDescent="0.25">
      <c r="A1" s="26" t="s">
        <v>8</v>
      </c>
      <c r="B1" s="27"/>
      <c r="C1" s="27"/>
      <c r="D1" s="27"/>
      <c r="E1" s="10"/>
      <c r="F1" s="11"/>
      <c r="G1" s="11"/>
    </row>
    <row r="2" spans="1:7" ht="15" thickBot="1" x14ac:dyDescent="0.3">
      <c r="A2" s="16" t="s">
        <v>10</v>
      </c>
      <c r="B2" s="16" t="s">
        <v>11</v>
      </c>
      <c r="C2" s="16" t="s">
        <v>0</v>
      </c>
      <c r="D2" s="16" t="s">
        <v>5</v>
      </c>
      <c r="E2" s="12"/>
      <c r="F2" s="11"/>
      <c r="G2" s="11"/>
    </row>
    <row r="3" spans="1:7" ht="16.2" customHeight="1" thickBot="1" x14ac:dyDescent="0.3">
      <c r="A3" s="17">
        <v>9999</v>
      </c>
      <c r="B3" s="17">
        <v>0.61</v>
      </c>
      <c r="C3" s="17">
        <v>6.13</v>
      </c>
      <c r="D3" s="20">
        <v>3.7393000000000001</v>
      </c>
      <c r="E3" s="13"/>
      <c r="F3" s="11"/>
      <c r="G3" s="11"/>
    </row>
    <row r="4" spans="1:7" ht="15" thickBot="1" x14ac:dyDescent="0.3">
      <c r="A4" s="17">
        <v>8999</v>
      </c>
      <c r="B4" s="17">
        <v>0.67600000000000005</v>
      </c>
      <c r="C4" s="17">
        <v>6.13</v>
      </c>
      <c r="D4" s="20">
        <v>4.1438800000000002</v>
      </c>
      <c r="E4" s="13"/>
      <c r="F4" s="11"/>
      <c r="G4" s="11"/>
    </row>
    <row r="5" spans="1:7" ht="15" thickBot="1" x14ac:dyDescent="0.3">
      <c r="A5" s="17">
        <v>7999</v>
      </c>
      <c r="B5" s="17">
        <v>0.75600000000000001</v>
      </c>
      <c r="C5" s="17">
        <v>6.08</v>
      </c>
      <c r="D5" s="20">
        <v>4.5964799999999997</v>
      </c>
      <c r="E5" s="13"/>
      <c r="F5" s="11"/>
      <c r="G5" s="11"/>
    </row>
    <row r="6" spans="1:7" ht="15" thickBot="1" x14ac:dyDescent="0.3">
      <c r="A6" s="17">
        <v>6799</v>
      </c>
      <c r="B6" s="17">
        <v>0.86299999999999999</v>
      </c>
      <c r="C6" s="17">
        <v>6.07</v>
      </c>
      <c r="D6" s="20">
        <v>5.23841</v>
      </c>
      <c r="E6" s="13"/>
      <c r="F6" s="11"/>
      <c r="G6" s="11"/>
    </row>
    <row r="7" spans="1:7" ht="15" thickBot="1" x14ac:dyDescent="0.3">
      <c r="A7" s="17">
        <v>5999</v>
      </c>
      <c r="B7" s="17">
        <v>1.006</v>
      </c>
      <c r="C7" s="17">
        <v>6.07</v>
      </c>
      <c r="D7" s="20">
        <v>6.10642</v>
      </c>
      <c r="E7" s="13"/>
      <c r="F7" s="11"/>
      <c r="G7" s="11"/>
    </row>
    <row r="8" spans="1:7" ht="15" thickBot="1" x14ac:dyDescent="0.3">
      <c r="A8" s="17">
        <v>4999</v>
      </c>
      <c r="B8" s="17">
        <v>1.2070000000000001</v>
      </c>
      <c r="C8" s="17">
        <v>6.06</v>
      </c>
      <c r="D8" s="20">
        <v>7.3144200000000001</v>
      </c>
      <c r="E8" s="13"/>
      <c r="F8" s="11"/>
      <c r="G8" s="11"/>
    </row>
    <row r="9" spans="1:7" ht="15" thickBot="1" x14ac:dyDescent="0.3">
      <c r="A9" s="17">
        <v>3999</v>
      </c>
      <c r="B9" s="17">
        <v>1.5069999999999999</v>
      </c>
      <c r="C9" s="17">
        <v>6.04</v>
      </c>
      <c r="D9" s="20">
        <v>9.1022800000000004</v>
      </c>
      <c r="E9" s="13"/>
      <c r="F9" s="11"/>
      <c r="G9" s="11"/>
    </row>
    <row r="10" spans="1:7" ht="15" thickBot="1" x14ac:dyDescent="0.3">
      <c r="A10" s="17">
        <v>2999</v>
      </c>
      <c r="B10" s="17">
        <v>1.4</v>
      </c>
      <c r="C10" s="17">
        <v>6.02</v>
      </c>
      <c r="D10" s="20">
        <v>8.4280000000000008</v>
      </c>
      <c r="E10" s="13"/>
      <c r="F10" s="11"/>
      <c r="G10" s="11"/>
    </row>
    <row r="11" spans="1:7" ht="15" thickBot="1" x14ac:dyDescent="0.3">
      <c r="A11" s="17">
        <v>1999</v>
      </c>
      <c r="B11" s="17">
        <v>2.4</v>
      </c>
      <c r="C11" s="17">
        <v>6</v>
      </c>
      <c r="D11" s="20">
        <v>14.4</v>
      </c>
      <c r="E11" s="13"/>
      <c r="F11" s="11"/>
      <c r="G11" s="11"/>
    </row>
    <row r="12" spans="1:7" ht="15" thickBot="1" x14ac:dyDescent="0.3">
      <c r="A12" s="17">
        <v>999</v>
      </c>
      <c r="B12" s="17">
        <v>5.3</v>
      </c>
      <c r="C12" s="17">
        <v>5.92</v>
      </c>
      <c r="D12" s="20">
        <v>31.376000000000001</v>
      </c>
      <c r="E12" s="13"/>
      <c r="F12" s="11"/>
      <c r="G12" s="11"/>
    </row>
    <row r="13" spans="1:7" ht="15" thickBot="1" x14ac:dyDescent="0.3">
      <c r="A13" s="17">
        <v>899</v>
      </c>
      <c r="B13" s="17">
        <v>5.9</v>
      </c>
      <c r="C13" s="17">
        <v>5.9</v>
      </c>
      <c r="D13" s="20">
        <v>34.81</v>
      </c>
      <c r="E13" s="13"/>
      <c r="F13" s="11"/>
      <c r="G13" s="11"/>
    </row>
    <row r="14" spans="1:7" ht="15" thickBot="1" x14ac:dyDescent="0.3">
      <c r="A14" s="17">
        <v>799</v>
      </c>
      <c r="B14" s="17">
        <v>6.7</v>
      </c>
      <c r="C14" s="17">
        <v>5.88</v>
      </c>
      <c r="D14" s="20">
        <v>39.396000000000001</v>
      </c>
      <c r="E14" s="13"/>
      <c r="F14" s="11"/>
      <c r="G14" s="11"/>
    </row>
    <row r="15" spans="1:7" ht="15" thickBot="1" x14ac:dyDescent="0.3">
      <c r="A15" s="17">
        <v>699</v>
      </c>
      <c r="B15" s="17">
        <v>7.8</v>
      </c>
      <c r="C15" s="17">
        <v>5.83</v>
      </c>
      <c r="D15" s="20">
        <v>45.473999999999997</v>
      </c>
      <c r="E15" s="13"/>
      <c r="F15" s="11"/>
      <c r="G15" s="11"/>
    </row>
    <row r="16" spans="1:7" ht="15" thickBot="1" x14ac:dyDescent="0.3">
      <c r="A16" s="17">
        <v>599</v>
      </c>
      <c r="B16" s="17">
        <v>9.1</v>
      </c>
      <c r="C16" s="17">
        <v>5.78</v>
      </c>
      <c r="D16" s="20">
        <v>52.597999999999999</v>
      </c>
      <c r="E16" s="13"/>
      <c r="F16" s="11"/>
      <c r="G16" s="11"/>
    </row>
    <row r="17" spans="1:7" ht="15" thickBot="1" x14ac:dyDescent="0.3">
      <c r="A17" s="17">
        <v>499</v>
      </c>
      <c r="B17" s="17">
        <v>10.9</v>
      </c>
      <c r="C17" s="17">
        <v>5.71</v>
      </c>
      <c r="D17" s="20">
        <v>62.238999999999997</v>
      </c>
      <c r="E17" s="13"/>
      <c r="F17" s="11"/>
      <c r="G17" s="11"/>
    </row>
    <row r="18" spans="1:7" ht="15" thickBot="1" x14ac:dyDescent="0.3">
      <c r="A18" s="17">
        <v>399</v>
      </c>
      <c r="B18" s="17">
        <v>13.2</v>
      </c>
      <c r="C18" s="17">
        <v>5.55</v>
      </c>
      <c r="D18" s="20">
        <v>73.260000000000005</v>
      </c>
      <c r="E18" s="13"/>
      <c r="F18" s="11"/>
      <c r="G18" s="11"/>
    </row>
    <row r="19" spans="1:7" ht="15" thickBot="1" x14ac:dyDescent="0.3">
      <c r="A19" s="17">
        <v>299</v>
      </c>
      <c r="B19" s="17">
        <v>16.8</v>
      </c>
      <c r="C19" s="17">
        <v>5.23</v>
      </c>
      <c r="D19" s="20">
        <v>87.864000000000004</v>
      </c>
      <c r="E19" s="13"/>
      <c r="F19" s="11"/>
      <c r="G19" s="11"/>
    </row>
    <row r="20" spans="1:7" ht="15" thickBot="1" x14ac:dyDescent="0.3">
      <c r="A20" s="17">
        <v>199</v>
      </c>
      <c r="B20" s="17">
        <v>20.5</v>
      </c>
      <c r="C20" s="17">
        <v>4.2300000000000004</v>
      </c>
      <c r="D20" s="20">
        <v>86.715000000000003</v>
      </c>
      <c r="E20" s="10"/>
      <c r="F20" s="11"/>
      <c r="G20" s="11"/>
    </row>
    <row r="21" spans="1:7" ht="15" thickBot="1" x14ac:dyDescent="0.3">
      <c r="A21" s="17">
        <v>99</v>
      </c>
      <c r="B21" s="17">
        <v>21.1</v>
      </c>
      <c r="C21" s="17">
        <v>2.16</v>
      </c>
      <c r="D21" s="20">
        <v>45.576000000000001</v>
      </c>
      <c r="E21" s="10"/>
      <c r="F21" s="11"/>
      <c r="G21" s="11"/>
    </row>
    <row r="22" spans="1:7" ht="15" thickBot="1" x14ac:dyDescent="0.3">
      <c r="A22" s="17">
        <v>89</v>
      </c>
      <c r="B22" s="17">
        <v>21.1</v>
      </c>
      <c r="C22" s="17">
        <v>1.95</v>
      </c>
      <c r="D22" s="20">
        <v>41.145000000000003</v>
      </c>
      <c r="E22" s="10"/>
      <c r="F22" s="11"/>
      <c r="G22" s="11"/>
    </row>
    <row r="23" spans="1:7" ht="15" thickBot="1" x14ac:dyDescent="0.3">
      <c r="A23" s="17">
        <v>79</v>
      </c>
      <c r="B23" s="17">
        <v>21.1</v>
      </c>
      <c r="C23" s="17">
        <v>1.72</v>
      </c>
      <c r="D23" s="20">
        <v>36.292000000000002</v>
      </c>
      <c r="E23" s="10"/>
      <c r="F23" s="11"/>
      <c r="G23" s="11"/>
    </row>
    <row r="24" spans="1:7" ht="15" thickBot="1" x14ac:dyDescent="0.3">
      <c r="A24" s="17">
        <v>69</v>
      </c>
      <c r="B24" s="17">
        <v>21.3</v>
      </c>
      <c r="C24" s="17">
        <v>1.52</v>
      </c>
      <c r="D24" s="20">
        <v>32.375999999999998</v>
      </c>
      <c r="E24" s="10"/>
      <c r="F24" s="11"/>
      <c r="G24" s="11"/>
    </row>
    <row r="25" spans="1:7" ht="15" thickBot="1" x14ac:dyDescent="0.3">
      <c r="A25" s="17">
        <v>59</v>
      </c>
      <c r="B25" s="17">
        <v>21.4</v>
      </c>
      <c r="C25" s="17">
        <v>1.3</v>
      </c>
      <c r="D25" s="20">
        <v>27.82</v>
      </c>
      <c r="E25" s="10"/>
      <c r="F25" s="11"/>
      <c r="G25" s="11"/>
    </row>
    <row r="26" spans="1:7" ht="15" thickBot="1" x14ac:dyDescent="0.3">
      <c r="A26" s="17">
        <v>49</v>
      </c>
      <c r="B26" s="17">
        <v>21.3</v>
      </c>
      <c r="C26" s="17">
        <v>1.08</v>
      </c>
      <c r="D26" s="20">
        <v>23.004000000000001</v>
      </c>
      <c r="E26" s="10"/>
      <c r="F26" s="11"/>
      <c r="G26" s="11"/>
    </row>
    <row r="27" spans="1:7" ht="15" thickBot="1" x14ac:dyDescent="0.3">
      <c r="A27" s="17">
        <v>39</v>
      </c>
      <c r="B27" s="17">
        <v>21.5</v>
      </c>
      <c r="C27" s="17">
        <v>0.87</v>
      </c>
      <c r="D27" s="20">
        <v>18.704999999999998</v>
      </c>
      <c r="E27" s="10"/>
      <c r="F27" s="11"/>
      <c r="G27" s="11"/>
    </row>
    <row r="28" spans="1:7" ht="15" thickBot="1" x14ac:dyDescent="0.3">
      <c r="A28" s="17">
        <v>29</v>
      </c>
      <c r="B28" s="17">
        <v>21.6</v>
      </c>
      <c r="C28" s="17">
        <v>0.65</v>
      </c>
      <c r="D28" s="20">
        <v>14.04</v>
      </c>
      <c r="E28" s="10"/>
      <c r="F28" s="11"/>
      <c r="G28" s="11"/>
    </row>
    <row r="29" spans="1:7" ht="15" thickBot="1" x14ac:dyDescent="0.3">
      <c r="A29" s="17">
        <v>19</v>
      </c>
      <c r="B29" s="17">
        <v>21.7</v>
      </c>
      <c r="C29" s="17">
        <v>0.43</v>
      </c>
      <c r="D29" s="20">
        <v>9.3309999999999995</v>
      </c>
      <c r="E29" s="10"/>
      <c r="F29" s="11"/>
      <c r="G29" s="11"/>
    </row>
    <row r="30" spans="1:7" ht="15" thickBot="1" x14ac:dyDescent="0.3">
      <c r="A30" s="17">
        <v>9</v>
      </c>
      <c r="B30" s="17">
        <v>21.8</v>
      </c>
      <c r="C30" s="17">
        <v>0.21</v>
      </c>
      <c r="D30" s="20">
        <v>4.5780000000000003</v>
      </c>
      <c r="E30" s="10"/>
      <c r="F30" s="11"/>
      <c r="G30" s="11"/>
    </row>
    <row r="31" spans="1:7" ht="15" thickBot="1" x14ac:dyDescent="0.3">
      <c r="A31" s="17">
        <v>7</v>
      </c>
      <c r="B31" s="17">
        <v>21.8</v>
      </c>
      <c r="C31" s="17">
        <v>0.16</v>
      </c>
      <c r="D31" s="20">
        <v>3.488</v>
      </c>
      <c r="E31" s="10"/>
      <c r="F31" s="11"/>
      <c r="G31" s="11"/>
    </row>
    <row r="32" spans="1:7" ht="15" thickBot="1" x14ac:dyDescent="0.3">
      <c r="A32" s="17">
        <v>5</v>
      </c>
      <c r="B32" s="17">
        <v>21.5</v>
      </c>
      <c r="C32" s="17">
        <v>0.11</v>
      </c>
      <c r="D32" s="20">
        <v>2.3650000000000002</v>
      </c>
      <c r="E32" s="10"/>
      <c r="F32" s="11"/>
      <c r="G32" s="11"/>
    </row>
    <row r="33" spans="1:7" ht="15" thickBot="1" x14ac:dyDescent="0.3">
      <c r="A33" s="17">
        <v>3</v>
      </c>
      <c r="B33" s="17">
        <v>21</v>
      </c>
      <c r="C33" s="17">
        <v>7.0000000000000007E-2</v>
      </c>
      <c r="D33" s="20">
        <v>1.47</v>
      </c>
      <c r="E33" s="10"/>
      <c r="F33" s="11"/>
      <c r="G33" s="11"/>
    </row>
    <row r="34" spans="1:7" x14ac:dyDescent="0.25">
      <c r="A34" s="17">
        <v>1</v>
      </c>
      <c r="B34" s="17">
        <v>21.7</v>
      </c>
      <c r="C34" s="17">
        <v>0.02</v>
      </c>
      <c r="D34" s="21">
        <v>0.434</v>
      </c>
      <c r="E34" s="10"/>
      <c r="F34" s="11"/>
      <c r="G34" s="11"/>
    </row>
    <row r="35" spans="1:7" ht="15" thickBot="1" x14ac:dyDescent="0.3">
      <c r="A35" s="18"/>
      <c r="B35" s="19"/>
      <c r="C35" s="19"/>
      <c r="D35" s="19"/>
      <c r="E35" s="11"/>
      <c r="F35" s="11"/>
      <c r="G35" s="11"/>
    </row>
    <row r="36" spans="1:7" ht="15" thickBot="1" x14ac:dyDescent="0.3">
      <c r="A36" s="14"/>
      <c r="B36" s="8"/>
      <c r="C36" s="8"/>
      <c r="D36" s="8"/>
      <c r="E36" s="11"/>
      <c r="F36" s="11"/>
      <c r="G36" s="11"/>
    </row>
    <row r="37" spans="1:7" ht="15" thickBot="1" x14ac:dyDescent="0.3">
      <c r="A37" s="14"/>
      <c r="B37" s="8"/>
      <c r="C37" s="8"/>
      <c r="D37" s="8"/>
      <c r="E37" s="11"/>
      <c r="F37" s="11"/>
      <c r="G37" s="11"/>
    </row>
    <row r="38" spans="1:7" ht="15" thickBot="1" x14ac:dyDescent="0.3">
      <c r="A38" s="14"/>
      <c r="B38" s="8"/>
      <c r="C38" s="8"/>
      <c r="D38" s="8"/>
      <c r="E38" s="11"/>
      <c r="F38" s="11"/>
      <c r="G38" s="11"/>
    </row>
    <row r="39" spans="1:7" ht="15" thickBot="1" x14ac:dyDescent="0.3">
      <c r="A39" s="14"/>
      <c r="B39" s="8"/>
      <c r="C39" s="8"/>
      <c r="D39" s="8"/>
      <c r="E39" s="11"/>
      <c r="F39" s="11"/>
      <c r="G39" s="11"/>
    </row>
    <row r="40" spans="1:7" ht="15" thickBot="1" x14ac:dyDescent="0.3">
      <c r="A40" s="14"/>
      <c r="B40" s="8"/>
      <c r="C40" s="8"/>
      <c r="D40" s="8"/>
      <c r="E40" s="11"/>
      <c r="F40" s="11"/>
      <c r="G40" s="11"/>
    </row>
    <row r="41" spans="1:7" ht="15" thickBot="1" x14ac:dyDescent="0.3">
      <c r="A41" s="14"/>
      <c r="B41" s="8"/>
      <c r="C41" s="8"/>
      <c r="D41" s="8"/>
      <c r="E41" s="11"/>
      <c r="F41" s="11"/>
      <c r="G41" s="11"/>
    </row>
    <row r="42" spans="1:7" ht="15" thickBot="1" x14ac:dyDescent="0.3">
      <c r="A42" s="14"/>
      <c r="B42" s="8"/>
      <c r="C42" s="8"/>
      <c r="D42" s="8"/>
      <c r="E42" s="11"/>
      <c r="F42" s="11"/>
      <c r="G42" s="11"/>
    </row>
    <row r="43" spans="1:7" ht="15" thickBot="1" x14ac:dyDescent="0.3">
      <c r="A43" s="14"/>
      <c r="B43" s="8"/>
      <c r="C43" s="8"/>
      <c r="D43" s="8"/>
      <c r="E43" s="11"/>
      <c r="F43" s="11"/>
      <c r="G43" s="11"/>
    </row>
    <row r="44" spans="1:7" ht="15" thickBot="1" x14ac:dyDescent="0.3">
      <c r="A44" s="14"/>
      <c r="B44" s="8"/>
      <c r="C44" s="8"/>
      <c r="D44" s="8"/>
      <c r="E44" s="11"/>
      <c r="F44" s="11"/>
      <c r="G44" s="11"/>
    </row>
    <row r="45" spans="1:7" ht="15" thickBot="1" x14ac:dyDescent="0.3">
      <c r="A45" s="14"/>
      <c r="B45" s="8"/>
      <c r="C45" s="8"/>
      <c r="D45" s="8"/>
      <c r="E45" s="11"/>
      <c r="F45" s="11"/>
      <c r="G45" s="11"/>
    </row>
    <row r="46" spans="1:7" ht="15" thickBot="1" x14ac:dyDescent="0.3">
      <c r="A46" s="14"/>
      <c r="B46" s="8"/>
      <c r="C46" s="8"/>
      <c r="D46" s="8"/>
      <c r="E46" s="11"/>
      <c r="F46" s="11"/>
      <c r="G46" s="11"/>
    </row>
    <row r="47" spans="1:7" ht="15" thickBot="1" x14ac:dyDescent="0.3">
      <c r="A47" s="14"/>
      <c r="B47" s="8"/>
      <c r="C47" s="8"/>
      <c r="D47" s="8"/>
      <c r="E47" s="11"/>
      <c r="F47" s="11"/>
      <c r="G47" s="11"/>
    </row>
    <row r="48" spans="1:7" ht="15" thickBot="1" x14ac:dyDescent="0.3">
      <c r="A48" s="14"/>
      <c r="B48" s="8"/>
      <c r="C48" s="8"/>
      <c r="D48" s="8"/>
      <c r="E48" s="11"/>
      <c r="F48" s="11"/>
      <c r="G48" s="11"/>
    </row>
    <row r="49" spans="1:7" ht="15" thickBot="1" x14ac:dyDescent="0.3">
      <c r="A49" s="14"/>
      <c r="B49" s="8"/>
      <c r="C49" s="8"/>
      <c r="D49" s="8"/>
      <c r="E49" s="11"/>
      <c r="F49" s="11"/>
      <c r="G49" s="11"/>
    </row>
    <row r="50" spans="1:7" ht="15" thickBot="1" x14ac:dyDescent="0.3">
      <c r="A50" s="14"/>
      <c r="B50" s="8"/>
      <c r="C50" s="8"/>
      <c r="D50" s="8"/>
      <c r="E50" s="11"/>
      <c r="F50" s="11"/>
      <c r="G50" s="11"/>
    </row>
    <row r="51" spans="1:7" ht="15" thickBot="1" x14ac:dyDescent="0.3">
      <c r="A51" s="14"/>
      <c r="B51" s="8"/>
      <c r="C51" s="8"/>
      <c r="D51" s="8"/>
      <c r="E51" s="11"/>
      <c r="F51" s="11"/>
      <c r="G51" s="11"/>
    </row>
    <row r="52" spans="1:7" ht="15" thickBot="1" x14ac:dyDescent="0.3">
      <c r="A52" s="14"/>
      <c r="B52" s="8"/>
      <c r="C52" s="8"/>
      <c r="D52" s="8"/>
      <c r="E52" s="11"/>
      <c r="F52" s="11"/>
      <c r="G52" s="11"/>
    </row>
    <row r="53" spans="1:7" ht="15" thickBot="1" x14ac:dyDescent="0.3">
      <c r="A53" s="14"/>
      <c r="B53" s="8"/>
      <c r="C53" s="8"/>
      <c r="D53" s="8"/>
      <c r="E53" s="11"/>
      <c r="F53" s="11"/>
      <c r="G53" s="11"/>
    </row>
    <row r="54" spans="1:7" ht="15" thickBot="1" x14ac:dyDescent="0.3">
      <c r="A54" s="14"/>
      <c r="B54" s="8"/>
      <c r="C54" s="8"/>
      <c r="D54" s="8"/>
      <c r="E54" s="11"/>
      <c r="F54" s="11"/>
      <c r="G54" s="11"/>
    </row>
    <row r="55" spans="1:7" ht="15" thickBot="1" x14ac:dyDescent="0.3">
      <c r="A55" s="14"/>
      <c r="B55" s="8"/>
      <c r="C55" s="8"/>
      <c r="D55" s="8"/>
      <c r="E55" s="11"/>
      <c r="F55" s="11"/>
      <c r="G55" s="11"/>
    </row>
    <row r="56" spans="1:7" ht="15" thickBot="1" x14ac:dyDescent="0.3">
      <c r="A56" s="14"/>
      <c r="B56" s="8"/>
      <c r="C56" s="8"/>
      <c r="D56" s="8"/>
      <c r="E56" s="11"/>
      <c r="F56" s="11"/>
      <c r="G56" s="11"/>
    </row>
    <row r="57" spans="1:7" ht="15" thickBot="1" x14ac:dyDescent="0.3">
      <c r="A57" s="14"/>
      <c r="B57" s="8"/>
      <c r="C57" s="8"/>
      <c r="D57" s="8"/>
      <c r="E57" s="11"/>
      <c r="F57" s="11"/>
      <c r="G57" s="11"/>
    </row>
    <row r="58" spans="1:7" ht="15" thickBot="1" x14ac:dyDescent="0.3">
      <c r="A58" s="14"/>
      <c r="B58" s="8"/>
      <c r="C58" s="8"/>
      <c r="D58" s="8"/>
      <c r="E58" s="11"/>
      <c r="F58" s="11"/>
      <c r="G58" s="11"/>
    </row>
    <row r="59" spans="1:7" ht="15" thickBot="1" x14ac:dyDescent="0.3">
      <c r="A59" s="14"/>
      <c r="B59" s="8"/>
      <c r="C59" s="8"/>
      <c r="D59" s="8"/>
      <c r="E59" s="11"/>
      <c r="F59" s="11"/>
      <c r="G59" s="11"/>
    </row>
    <row r="60" spans="1:7" ht="15" thickBot="1" x14ac:dyDescent="0.3">
      <c r="A60" s="14"/>
      <c r="B60" s="8"/>
      <c r="C60" s="8"/>
      <c r="D60" s="8"/>
      <c r="E60" s="11"/>
      <c r="F60" s="11"/>
      <c r="G60" s="11"/>
    </row>
    <row r="61" spans="1:7" ht="15" thickBot="1" x14ac:dyDescent="0.3">
      <c r="A61" s="14"/>
      <c r="B61" s="8"/>
      <c r="C61" s="8"/>
      <c r="D61" s="8"/>
      <c r="E61" s="11"/>
      <c r="F61" s="11"/>
      <c r="G61" s="11"/>
    </row>
    <row r="62" spans="1:7" ht="15" thickBot="1" x14ac:dyDescent="0.3">
      <c r="A62" s="14"/>
      <c r="B62" s="8"/>
      <c r="C62" s="8"/>
      <c r="D62" s="8"/>
      <c r="E62" s="11"/>
      <c r="F62" s="11"/>
      <c r="G62" s="11"/>
    </row>
    <row r="63" spans="1:7" ht="15" thickBot="1" x14ac:dyDescent="0.3">
      <c r="A63" s="14"/>
      <c r="B63" s="8"/>
      <c r="C63" s="8"/>
      <c r="D63" s="8"/>
      <c r="E63" s="11"/>
      <c r="F63" s="11"/>
      <c r="G63" s="11"/>
    </row>
    <row r="64" spans="1:7" ht="15" thickBot="1" x14ac:dyDescent="0.3">
      <c r="A64" s="14"/>
      <c r="B64" s="8"/>
      <c r="C64" s="8"/>
      <c r="D64" s="8"/>
      <c r="E64" s="11"/>
      <c r="F64" s="11"/>
      <c r="G64" s="11"/>
    </row>
    <row r="65" spans="1:7" ht="15" thickBot="1" x14ac:dyDescent="0.3">
      <c r="A65" s="14"/>
      <c r="B65" s="8"/>
      <c r="C65" s="8"/>
      <c r="D65" s="8"/>
      <c r="E65" s="11"/>
      <c r="F65" s="11"/>
      <c r="G65" s="11"/>
    </row>
    <row r="66" spans="1:7" ht="15" thickBot="1" x14ac:dyDescent="0.3">
      <c r="A66" s="14"/>
      <c r="B66" s="8"/>
      <c r="C66" s="8"/>
      <c r="D66" s="8"/>
      <c r="E66" s="11"/>
      <c r="F66" s="11"/>
      <c r="G66" s="11"/>
    </row>
    <row r="67" spans="1:7" ht="15" thickBot="1" x14ac:dyDescent="0.3">
      <c r="A67" s="15"/>
      <c r="B67" s="9"/>
      <c r="C67" s="9"/>
      <c r="D67" s="9"/>
      <c r="E67" s="11"/>
      <c r="F67" s="11"/>
      <c r="G67" s="11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CA3E36-47DF-4BE4-AB81-29D2EA7681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2025-09-18T05:11:34Z</dcterms:created>
  <dcterms:modified xsi:type="dcterms:W3CDTF">2025-09-18T06:20:55Z</dcterms:modified>
</cp:coreProperties>
</file>